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mar/Desktop/Python example/"/>
    </mc:Choice>
  </mc:AlternateContent>
  <xr:revisionPtr revIDLastSave="0" documentId="13_ncr:1_{1FFDBB15-FFDB-D24F-B06E-663C9ED79D5B}" xr6:coauthVersionLast="47" xr6:coauthVersionMax="47" xr10:uidLastSave="{00000000-0000-0000-0000-000000000000}"/>
  <bookViews>
    <workbookView xWindow="34200" yWindow="620" windowWidth="51200" windowHeight="28180" xr2:uid="{17780EA3-C328-8D46-B401-09DCD116F5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" l="1"/>
  <c r="T7" i="1"/>
  <c r="T4" i="1"/>
</calcChain>
</file>

<file path=xl/sharedStrings.xml><?xml version="1.0" encoding="utf-8"?>
<sst xmlns="http://schemas.openxmlformats.org/spreadsheetml/2006/main" count="237" uniqueCount="180">
  <si>
    <t>Drug</t>
  </si>
  <si>
    <t>Drug Class</t>
  </si>
  <si>
    <t>Dosage (mg)</t>
  </si>
  <si>
    <t>Cmin (ng/ml)</t>
  </si>
  <si>
    <t>Cmax (ng/ml)</t>
  </si>
  <si>
    <t>Tmax (hours)</t>
  </si>
  <si>
    <t>Half-life (hours)</t>
  </si>
  <si>
    <t>Bioavailability</t>
  </si>
  <si>
    <t>Clearance (ml/min/kg)</t>
  </si>
  <si>
    <t>Urinary Excretion (%)</t>
  </si>
  <si>
    <t>Volume of Distribution (L)</t>
  </si>
  <si>
    <t>Amlodipine </t>
  </si>
  <si>
    <t>Doxazosin </t>
  </si>
  <si>
    <t>Ramipril </t>
  </si>
  <si>
    <t>Bisoprolol </t>
  </si>
  <si>
    <t>Indapamide </t>
  </si>
  <si>
    <t>Spironolactone  </t>
  </si>
  <si>
    <t>Losartan </t>
  </si>
  <si>
    <t>Bendroflumethiazide </t>
  </si>
  <si>
    <t>Furosemide </t>
  </si>
  <si>
    <t>Candesartan </t>
  </si>
  <si>
    <t>Atenolol </t>
  </si>
  <si>
    <t>Lisinopril </t>
  </si>
  <si>
    <t>Irbesartan </t>
  </si>
  <si>
    <t>Diltiazem </t>
  </si>
  <si>
    <t>Moxonidine </t>
  </si>
  <si>
    <t>Perindopril </t>
  </si>
  <si>
    <t>Valsartan </t>
  </si>
  <si>
    <t>Hydrochlorothiazide </t>
  </si>
  <si>
    <t>Amiloride </t>
  </si>
  <si>
    <t>Diuretic </t>
  </si>
  <si>
    <t>Calcium Channel Blocker</t>
  </si>
  <si>
    <t>8.9 ± 2.9</t>
  </si>
  <si>
    <t>23.7 ± 1.6</t>
  </si>
  <si>
    <t>8.1 ± 0.6</t>
  </si>
  <si>
    <t>6.4 ± 0.6</t>
  </si>
  <si>
    <t>59.6 ± 4.5</t>
  </si>
  <si>
    <t>Alpha Blocker</t>
  </si>
  <si>
    <t>29.3 ± 8.4</t>
  </si>
  <si>
    <t>3.7 ± 1.5</t>
  </si>
  <si>
    <t>66.8 ± 17.6</t>
  </si>
  <si>
    <t>3.9 ± 1.2</t>
  </si>
  <si>
    <t>20.5 ± 6.1</t>
  </si>
  <si>
    <t>3 ± 1</t>
  </si>
  <si>
    <t>22 ± 7</t>
  </si>
  <si>
    <t>214 ± 67.6</t>
  </si>
  <si>
    <t>175 ± 34.9</t>
  </si>
  <si>
    <t>ACE Inhibitor</t>
  </si>
  <si>
    <t>43.3 ± 10.2</t>
  </si>
  <si>
    <t>1.2 ± 0.3</t>
  </si>
  <si>
    <t>5.1 ± 2.1</t>
  </si>
  <si>
    <t>6.2 ± 1.5</t>
  </si>
  <si>
    <t>8 ± 0.2</t>
  </si>
  <si>
    <t>15% ± 5 %</t>
  </si>
  <si>
    <t>23.2% ± 5.6 %</t>
  </si>
  <si>
    <t>21.1 ± 14.8</t>
  </si>
  <si>
    <t>1.4 ± 0.9</t>
  </si>
  <si>
    <t>12.2% ± 3.8 %</t>
  </si>
  <si>
    <t>40.3 ± 13.1</t>
  </si>
  <si>
    <t>23.1% ± 6.6 %</t>
  </si>
  <si>
    <t>2.7 ± 1.3</t>
  </si>
  <si>
    <t>2.5 ± 1.8</t>
  </si>
  <si>
    <t>28% ± 3 %</t>
  </si>
  <si>
    <t>67.8% ± 15.8 %</t>
  </si>
  <si>
    <t>Ramiprilat</t>
  </si>
  <si>
    <t>Beta Blocker</t>
  </si>
  <si>
    <t>154 ± 35</t>
  </si>
  <si>
    <t>0.8 ± 0.1</t>
  </si>
  <si>
    <t>2.1 ± 0.71</t>
  </si>
  <si>
    <t>24.2 ± 21</t>
  </si>
  <si>
    <t>Diuretics</t>
  </si>
  <si>
    <t>197.6 ± 108.5</t>
  </si>
  <si>
    <t>1.3 ± 0.9</t>
  </si>
  <si>
    <t>1.69 ± 0.75</t>
  </si>
  <si>
    <t>93.3 ± 36.7</t>
  </si>
  <si>
    <t>84.5 ± 40.9</t>
  </si>
  <si>
    <t>0.8 ± 0.3</t>
  </si>
  <si>
    <t>2.48 ± 1.54</t>
  </si>
  <si>
    <t>108.3 ± 41.7</t>
  </si>
  <si>
    <t>800.5 ± 330.9</t>
  </si>
  <si>
    <t>0.7 ± 0.3</t>
  </si>
  <si>
    <t>1.51 ± 0.4</t>
  </si>
  <si>
    <t>68.3 ± 11.7</t>
  </si>
  <si>
    <t>93 ± 25</t>
  </si>
  <si>
    <t>36% ± 8 %</t>
  </si>
  <si>
    <t>50 ± 8</t>
  </si>
  <si>
    <t>2.3 ± 1.2</t>
  </si>
  <si>
    <t>48 ± 32</t>
  </si>
  <si>
    <t>18% ± 6 %</t>
  </si>
  <si>
    <t>1.9 ± 0.3</t>
  </si>
  <si>
    <t>552 ± 221</t>
  </si>
  <si>
    <t>1.5 ± 0.8</t>
  </si>
  <si>
    <t>1.9 ± 0.5</t>
  </si>
  <si>
    <t>47% ± 6 %</t>
  </si>
  <si>
    <t>63% ± 8.9 %</t>
  </si>
  <si>
    <t>1.1 ± 0.1</t>
  </si>
  <si>
    <t>0.1 ± 0</t>
  </si>
  <si>
    <t>50.5 ± 22.3</t>
  </si>
  <si>
    <t>3.8 ± 1</t>
  </si>
  <si>
    <t>9.1 ± 0.2</t>
  </si>
  <si>
    <t>17.1 ± 6.7</t>
  </si>
  <si>
    <t>4 ± 1.6</t>
  </si>
  <si>
    <t>7.7 ± 4</t>
  </si>
  <si>
    <t>28.3 ± 13</t>
  </si>
  <si>
    <t>3.6 ± 1.1</t>
  </si>
  <si>
    <t>9.2 ± 3.7</t>
  </si>
  <si>
    <t>60.7 ± 27.5</t>
  </si>
  <si>
    <t>3.7 ± 1</t>
  </si>
  <si>
    <t>12.9 ± 3.4</t>
  </si>
  <si>
    <t>119.2 ± 42.8</t>
  </si>
  <si>
    <t>4 ± 1.3</t>
  </si>
  <si>
    <t>9.1 ± 1.7</t>
  </si>
  <si>
    <t>117 ± 23</t>
  </si>
  <si>
    <t>9.6 ± 0.7</t>
  </si>
  <si>
    <t>3.7 ± 0.3</t>
  </si>
  <si>
    <t>80 ± 3</t>
  </si>
  <si>
    <t>219 ± 43</t>
  </si>
  <si>
    <t>5.2 ± 0.9</t>
  </si>
  <si>
    <t>366.6 ± 61</t>
  </si>
  <si>
    <t>40.7 ± 17.8</t>
  </si>
  <si>
    <t>4.6 ± 1.3</t>
  </si>
  <si>
    <t>20.4 ± 15.3</t>
  </si>
  <si>
    <t>96.8 ± 17.6</t>
  </si>
  <si>
    <t>26.6% ± 10.8 %</t>
  </si>
  <si>
    <t>1900 ± 4000</t>
  </si>
  <si>
    <t>16 ± 7</t>
  </si>
  <si>
    <t>0.9% ± 0.4 %</t>
  </si>
  <si>
    <t>2900 ± 900</t>
  </si>
  <si>
    <t>14 ± 7</t>
  </si>
  <si>
    <t>0.9% ± 0.3 %</t>
  </si>
  <si>
    <t>4073 ± 1692</t>
  </si>
  <si>
    <t>14.2 ± 4.7</t>
  </si>
  <si>
    <t>63 ± 48</t>
  </si>
  <si>
    <t>0.4% ± 0.2 %</t>
  </si>
  <si>
    <t>93.8 ± 2</t>
  </si>
  <si>
    <t>1.9 ± 0.1</t>
  </si>
  <si>
    <t>3.6 ± 0.4</t>
  </si>
  <si>
    <t>270 ± 100</t>
  </si>
  <si>
    <t>0.3 ± 0.1</t>
  </si>
  <si>
    <t>72% ± 6 %</t>
  </si>
  <si>
    <t>2033.3 ± 1266.6</t>
  </si>
  <si>
    <t>603 ± 306</t>
  </si>
  <si>
    <t>1.9 ± 0.7</t>
  </si>
  <si>
    <t>1.1 ± 0.8</t>
  </si>
  <si>
    <t>2 ± 0.8</t>
  </si>
  <si>
    <t>726.3 ± 323</t>
  </si>
  <si>
    <t>1.4 ± 0.3</t>
  </si>
  <si>
    <t>65.6% ± 34.6 %</t>
  </si>
  <si>
    <t>21% ± 10 %</t>
  </si>
  <si>
    <t>29 ± 10</t>
  </si>
  <si>
    <t>2.3 ± 0.7</t>
  </si>
  <si>
    <t>37 ± 13</t>
  </si>
  <si>
    <t>3000 ± 1400</t>
  </si>
  <si>
    <t>142 ± 50</t>
  </si>
  <si>
    <t>332 ± 139</t>
  </si>
  <si>
    <t>70 ± 19</t>
  </si>
  <si>
    <t>345 ± 123</t>
  </si>
  <si>
    <t>260 ± 88</t>
  </si>
  <si>
    <t>340 ± 121</t>
  </si>
  <si>
    <t>4573 ± 1306.6</t>
  </si>
  <si>
    <t>5.7 ± 1</t>
  </si>
  <si>
    <t>13.2% ± 3.8 %</t>
  </si>
  <si>
    <t>47.5 ± 13.8</t>
  </si>
  <si>
    <t>87.9% ± 14.1 %</t>
  </si>
  <si>
    <t>122 ± 58</t>
  </si>
  <si>
    <t>0.5 ± 0.2</t>
  </si>
  <si>
    <t>71% ± 13 %</t>
  </si>
  <si>
    <t>Nifedipine </t>
  </si>
  <si>
    <t>Angiotensin Receptor Blockers</t>
  </si>
  <si>
    <t>Centrally Acting  </t>
  </si>
  <si>
    <t>Angiotensin Converting Enzyme Inhibitor</t>
  </si>
  <si>
    <t>R
(Accum.
Factor)</t>
  </si>
  <si>
    <t>SINGLE DOSE
Cmax
(ng/mL)</t>
  </si>
  <si>
    <t>SINGLE DOSE
Cmin
(ng/mL)</t>
  </si>
  <si>
    <t>Css,max
(ng/mL)</t>
  </si>
  <si>
    <t>Css,min
(ng/mL)</t>
  </si>
  <si>
    <t>Css,avg
(ng/mL)</t>
  </si>
  <si>
    <t>LOD
(ng/mL)</t>
  </si>
  <si>
    <t>Det.
Window
(h)</t>
  </si>
  <si>
    <t>Det.
Window
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</si>
</sst>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0" borderId="0" xfId="0" applyFont="1"/>
    <xf numFmtId="9" fontId="0" fillId="0" borderId="0" xfId="0" applyNumberFormat="1" applyAlignment="1">
      <alignment horizontal="center"/>
    </xf>
    <xf numFmtId="0" fontId="0" fillId="0" borderId="1" xfId="1" applyFont="1" applyFill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E478A-8802-9747-8B00-3BE777E7AE5C}">
  <dimension ref="A1:T44"/>
  <sheetViews>
    <sheetView tabSelected="1" zoomScale="120" zoomScaleNormal="120" workbookViewId="0">
      <selection activeCell="F11" sqref="F11"/>
    </sheetView>
  </sheetViews>
  <sheetFormatPr baseColWidth="10" defaultRowHeight="16" x14ac:dyDescent="0.2"/>
  <cols>
    <col min="1" max="1" width="20.5" customWidth="1"/>
    <col min="2" max="2" width="34.83203125" customWidth="1"/>
    <col min="3" max="3" width="17.6640625" customWidth="1"/>
    <col min="4" max="4" width="16.83203125" customWidth="1"/>
    <col min="5" max="5" width="14.5" customWidth="1"/>
    <col min="6" max="6" width="15.83203125" customWidth="1"/>
    <col min="7" max="7" width="16.83203125" customWidth="1"/>
    <col min="8" max="8" width="17.5" customWidth="1"/>
    <col min="9" max="9" width="23.5" customWidth="1"/>
    <col min="10" max="10" width="18.33203125" customWidth="1"/>
    <col min="11" max="11" width="23.1640625" customWidth="1"/>
    <col min="12" max="12" width="17.33203125" customWidth="1"/>
    <col min="13" max="13" width="23.1640625" customWidth="1"/>
    <col min="14" max="14" width="19.83203125" customWidth="1"/>
  </cols>
  <sheetData>
    <row r="1" spans="1:20" s="1" customFormat="1" ht="5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171</v>
      </c>
      <c r="M1" s="1" t="s">
        <v>172</v>
      </c>
      <c r="N1" s="1" t="s">
        <v>173</v>
      </c>
      <c r="O1" s="1" t="s">
        <v>174</v>
      </c>
      <c r="P1" s="1" t="s">
        <v>175</v>
      </c>
      <c r="Q1" s="1" t="s">
        <v>176</v>
      </c>
      <c r="R1" s="1" t="s">
        <v>177</v>
      </c>
      <c r="S1" s="1" t="s">
        <v>178</v>
      </c>
      <c r="T1" s="1" t="s">
        <v>179</v>
      </c>
    </row>
    <row r="2" spans="1:20" x14ac:dyDescent="0.2">
      <c r="A2" s="3" t="s">
        <v>11</v>
      </c>
      <c r="B2" t="s">
        <v>31</v>
      </c>
      <c r="C2" s="2">
        <v>5</v>
      </c>
      <c r="D2" s="2">
        <v>4.41</v>
      </c>
      <c r="E2" s="2" t="s">
        <v>32</v>
      </c>
      <c r="F2" s="2">
        <v>4</v>
      </c>
      <c r="G2" s="2" t="s">
        <v>33</v>
      </c>
      <c r="H2" s="2">
        <v>64</v>
      </c>
      <c r="I2" s="2"/>
      <c r="J2" s="2"/>
      <c r="K2" s="2"/>
      <c r="L2" s="2">
        <v>2.94</v>
      </c>
      <c r="M2" s="5">
        <v>8.9</v>
      </c>
      <c r="N2" s="5">
        <v>4.41</v>
      </c>
      <c r="O2" s="5">
        <v>26.2</v>
      </c>
      <c r="P2" s="5">
        <v>13</v>
      </c>
      <c r="Q2" s="5">
        <v>5.2</v>
      </c>
      <c r="R2" s="6">
        <v>0.8</v>
      </c>
      <c r="S2" s="7">
        <v>201.67</v>
      </c>
      <c r="T2" s="8">
        <v>8.4</v>
      </c>
    </row>
    <row r="3" spans="1:20" x14ac:dyDescent="0.2">
      <c r="A3" s="3" t="s">
        <v>11</v>
      </c>
      <c r="B3" t="s">
        <v>31</v>
      </c>
      <c r="C3" s="2">
        <v>10</v>
      </c>
      <c r="D3" s="2">
        <v>6.13</v>
      </c>
      <c r="E3" s="2" t="s">
        <v>34</v>
      </c>
      <c r="F3" s="2" t="s">
        <v>35</v>
      </c>
      <c r="G3" s="2" t="s">
        <v>36</v>
      </c>
      <c r="H3" s="2"/>
      <c r="I3" s="2"/>
      <c r="J3" s="2"/>
      <c r="K3" s="2"/>
    </row>
    <row r="4" spans="1:20" x14ac:dyDescent="0.2">
      <c r="A4" s="3" t="s">
        <v>12</v>
      </c>
      <c r="B4" t="s">
        <v>37</v>
      </c>
      <c r="C4" s="2">
        <v>4</v>
      </c>
      <c r="D4" s="2"/>
      <c r="E4" s="2" t="s">
        <v>38</v>
      </c>
      <c r="F4" s="2" t="s">
        <v>39</v>
      </c>
      <c r="G4" s="2"/>
      <c r="H4" s="4">
        <v>1</v>
      </c>
      <c r="I4" s="2"/>
      <c r="J4" s="2"/>
      <c r="K4" s="2"/>
      <c r="L4" s="2">
        <v>1.89</v>
      </c>
      <c r="M4" s="5">
        <v>29.3</v>
      </c>
      <c r="N4" s="5">
        <v>14.8</v>
      </c>
      <c r="O4" s="5">
        <v>55.2</v>
      </c>
      <c r="P4" s="5">
        <v>28.03</v>
      </c>
      <c r="Q4" s="5">
        <v>44.7</v>
      </c>
      <c r="R4" s="6">
        <v>0.8</v>
      </c>
      <c r="S4" s="7">
        <v>134.41999999999999</v>
      </c>
      <c r="T4" s="8">
        <f t="shared" ref="T4" si="0">S4/24</f>
        <v>5.6008333333333331</v>
      </c>
    </row>
    <row r="5" spans="1:20" x14ac:dyDescent="0.2">
      <c r="A5" s="3" t="s">
        <v>12</v>
      </c>
      <c r="B5" t="s">
        <v>37</v>
      </c>
      <c r="C5" s="2">
        <v>8</v>
      </c>
      <c r="D5" s="2">
        <v>29.67</v>
      </c>
      <c r="E5" s="2" t="s">
        <v>40</v>
      </c>
      <c r="F5" s="2" t="s">
        <v>41</v>
      </c>
      <c r="G5" s="2" t="s">
        <v>42</v>
      </c>
      <c r="H5" s="4">
        <v>1</v>
      </c>
      <c r="I5" s="2"/>
      <c r="J5" s="2"/>
      <c r="K5" s="2"/>
    </row>
    <row r="6" spans="1:20" x14ac:dyDescent="0.2">
      <c r="A6" s="3" t="s">
        <v>12</v>
      </c>
      <c r="B6" t="s">
        <v>37</v>
      </c>
      <c r="C6" s="2">
        <v>2</v>
      </c>
      <c r="D6" s="2">
        <v>5.77</v>
      </c>
      <c r="E6" s="2">
        <v>12.3</v>
      </c>
      <c r="F6" s="2" t="s">
        <v>43</v>
      </c>
      <c r="G6" s="2" t="s">
        <v>44</v>
      </c>
      <c r="H6" s="2"/>
      <c r="I6" s="2" t="s">
        <v>45</v>
      </c>
      <c r="J6" s="2"/>
      <c r="K6" s="2" t="s">
        <v>46</v>
      </c>
    </row>
    <row r="7" spans="1:20" x14ac:dyDescent="0.2">
      <c r="A7" s="3" t="s">
        <v>13</v>
      </c>
      <c r="B7" t="s">
        <v>47</v>
      </c>
      <c r="C7" s="2">
        <v>10</v>
      </c>
      <c r="D7" s="2">
        <v>1.66</v>
      </c>
      <c r="E7" s="2" t="s">
        <v>48</v>
      </c>
      <c r="F7" s="2" t="s">
        <v>49</v>
      </c>
      <c r="G7" s="2" t="s">
        <v>50</v>
      </c>
      <c r="H7" s="2"/>
      <c r="I7" s="2"/>
      <c r="J7" s="2"/>
      <c r="K7" s="2"/>
      <c r="L7" s="2">
        <v>1.49</v>
      </c>
      <c r="M7" s="5">
        <v>17.399999999999999</v>
      </c>
      <c r="N7" s="5">
        <v>1.66</v>
      </c>
      <c r="O7" s="5">
        <v>25.92</v>
      </c>
      <c r="P7" s="5">
        <v>2.5</v>
      </c>
      <c r="Q7" s="5">
        <v>25.8</v>
      </c>
      <c r="R7" s="6">
        <v>2.25</v>
      </c>
      <c r="S7" s="7">
        <v>52.9</v>
      </c>
      <c r="T7" s="8">
        <f t="shared" ref="T7" si="1">S7/24</f>
        <v>2.2041666666666666</v>
      </c>
    </row>
    <row r="8" spans="1:20" x14ac:dyDescent="0.2">
      <c r="A8" s="3" t="s">
        <v>13</v>
      </c>
      <c r="B8" t="s">
        <v>47</v>
      </c>
      <c r="C8" s="2">
        <v>2.5</v>
      </c>
      <c r="D8" s="2"/>
      <c r="E8" s="2" t="s">
        <v>51</v>
      </c>
      <c r="F8" s="2" t="s">
        <v>52</v>
      </c>
      <c r="G8" s="2"/>
      <c r="H8" s="2" t="s">
        <v>53</v>
      </c>
      <c r="I8" s="2">
        <v>36</v>
      </c>
      <c r="J8" s="2" t="s">
        <v>54</v>
      </c>
      <c r="K8" s="2"/>
    </row>
    <row r="9" spans="1:20" x14ac:dyDescent="0.2">
      <c r="A9" s="3" t="s">
        <v>13</v>
      </c>
      <c r="B9" t="s">
        <v>47</v>
      </c>
      <c r="C9" s="2">
        <v>5</v>
      </c>
      <c r="D9" s="2"/>
      <c r="E9" s="2" t="s">
        <v>55</v>
      </c>
      <c r="F9" s="2" t="s">
        <v>56</v>
      </c>
      <c r="G9" s="2"/>
      <c r="H9" s="2" t="s">
        <v>57</v>
      </c>
      <c r="I9" s="2" t="s">
        <v>58</v>
      </c>
      <c r="J9" s="2" t="s">
        <v>59</v>
      </c>
      <c r="K9" s="2"/>
    </row>
    <row r="10" spans="1:20" x14ac:dyDescent="0.2">
      <c r="A10" t="s">
        <v>64</v>
      </c>
      <c r="B10" t="s">
        <v>47</v>
      </c>
      <c r="C10" s="2">
        <v>2.5</v>
      </c>
      <c r="D10" s="2"/>
      <c r="E10" s="2" t="s">
        <v>60</v>
      </c>
      <c r="F10" s="2" t="s">
        <v>61</v>
      </c>
      <c r="G10" s="2"/>
      <c r="H10" s="2" t="s">
        <v>62</v>
      </c>
      <c r="I10" s="2">
        <v>36</v>
      </c>
      <c r="J10" s="2" t="s">
        <v>63</v>
      </c>
      <c r="K10" s="2"/>
    </row>
    <row r="11" spans="1:20" x14ac:dyDescent="0.2">
      <c r="A11" s="3" t="s">
        <v>14</v>
      </c>
      <c r="B11" t="s">
        <v>65</v>
      </c>
      <c r="C11" s="2">
        <v>10</v>
      </c>
      <c r="D11" s="2">
        <v>7.54</v>
      </c>
      <c r="E11" s="2">
        <v>51</v>
      </c>
      <c r="F11" s="2">
        <v>1.5</v>
      </c>
      <c r="G11" s="2">
        <v>11</v>
      </c>
      <c r="H11" s="2">
        <v>90</v>
      </c>
      <c r="I11" s="2">
        <v>244</v>
      </c>
      <c r="J11" s="2"/>
      <c r="K11" s="2">
        <v>242</v>
      </c>
      <c r="L11" s="2">
        <v>1.28</v>
      </c>
      <c r="M11" s="5">
        <v>51</v>
      </c>
      <c r="N11" s="5">
        <v>7.54</v>
      </c>
      <c r="O11" s="5">
        <v>65.400000000000006</v>
      </c>
      <c r="P11" s="5">
        <v>9.6999999999999993</v>
      </c>
      <c r="Q11" s="5">
        <v>24.6</v>
      </c>
      <c r="R11" s="6">
        <v>2.42</v>
      </c>
      <c r="S11" s="7">
        <v>52.33</v>
      </c>
      <c r="T11" s="8">
        <f t="shared" ref="T11" si="2">S11/24</f>
        <v>2.1804166666666664</v>
      </c>
    </row>
    <row r="12" spans="1:20" x14ac:dyDescent="0.2">
      <c r="A12" s="3" t="s">
        <v>15</v>
      </c>
      <c r="B12" t="s">
        <v>70</v>
      </c>
      <c r="C12" s="2">
        <v>2.5</v>
      </c>
      <c r="D12" s="2">
        <v>0</v>
      </c>
      <c r="E12" s="2" t="s">
        <v>66</v>
      </c>
      <c r="F12" s="2"/>
      <c r="G12" s="2" t="s">
        <v>67</v>
      </c>
      <c r="H12" s="4">
        <v>0.9</v>
      </c>
      <c r="I12" s="2" t="s">
        <v>68</v>
      </c>
      <c r="J12" s="2"/>
      <c r="K12" s="2" t="s">
        <v>69</v>
      </c>
    </row>
    <row r="13" spans="1:20" x14ac:dyDescent="0.2">
      <c r="A13" s="3" t="s">
        <v>16</v>
      </c>
      <c r="B13" t="s">
        <v>70</v>
      </c>
      <c r="C13" s="2">
        <v>25</v>
      </c>
      <c r="D13" s="2"/>
      <c r="E13" s="2"/>
      <c r="F13" s="2"/>
      <c r="G13" s="2"/>
      <c r="H13" s="2"/>
      <c r="I13" s="2"/>
      <c r="J13" s="2"/>
      <c r="K13" s="2"/>
    </row>
    <row r="14" spans="1:20" x14ac:dyDescent="0.2">
      <c r="A14" s="3" t="s">
        <v>17</v>
      </c>
      <c r="B14" t="s">
        <v>168</v>
      </c>
      <c r="C14" s="2">
        <v>50</v>
      </c>
      <c r="D14" s="2">
        <v>0.01</v>
      </c>
      <c r="E14" s="2" t="s">
        <v>71</v>
      </c>
      <c r="F14" s="2" t="s">
        <v>72</v>
      </c>
      <c r="G14" s="2" t="s">
        <v>73</v>
      </c>
      <c r="H14" s="2"/>
      <c r="I14" s="2" t="s">
        <v>74</v>
      </c>
      <c r="J14" s="2"/>
      <c r="K14" s="2"/>
    </row>
    <row r="15" spans="1:20" x14ac:dyDescent="0.2">
      <c r="A15" s="3" t="s">
        <v>17</v>
      </c>
      <c r="B15" t="s">
        <v>168</v>
      </c>
      <c r="C15" s="2">
        <v>25</v>
      </c>
      <c r="D15" s="2">
        <v>0.1</v>
      </c>
      <c r="E15" s="2" t="s">
        <v>75</v>
      </c>
      <c r="F15" s="2" t="s">
        <v>76</v>
      </c>
      <c r="G15" s="2" t="s">
        <v>77</v>
      </c>
      <c r="H15" s="2"/>
      <c r="I15" s="2" t="s">
        <v>78</v>
      </c>
      <c r="J15" s="2"/>
      <c r="K15" s="2"/>
    </row>
    <row r="16" spans="1:20" x14ac:dyDescent="0.2">
      <c r="A16" s="3" t="s">
        <v>17</v>
      </c>
      <c r="B16" t="s">
        <v>168</v>
      </c>
      <c r="C16" s="2">
        <v>100</v>
      </c>
      <c r="D16" s="2">
        <v>0.01</v>
      </c>
      <c r="E16" s="2" t="s">
        <v>79</v>
      </c>
      <c r="F16" s="2" t="s">
        <v>80</v>
      </c>
      <c r="G16" s="2" t="s">
        <v>81</v>
      </c>
      <c r="H16" s="2"/>
      <c r="I16" s="2" t="s">
        <v>82</v>
      </c>
      <c r="J16" s="2"/>
      <c r="K16" s="2"/>
    </row>
    <row r="17" spans="1:11" x14ac:dyDescent="0.2">
      <c r="A17" s="3" t="s">
        <v>18</v>
      </c>
      <c r="B17" s="3" t="s">
        <v>30</v>
      </c>
      <c r="C17" s="2">
        <v>2.5</v>
      </c>
      <c r="D17" s="2">
        <v>1.18</v>
      </c>
      <c r="E17" s="2">
        <v>23</v>
      </c>
      <c r="F17" s="2">
        <v>2</v>
      </c>
      <c r="G17" s="2">
        <v>5.6</v>
      </c>
      <c r="H17" s="2"/>
      <c r="I17" s="2" t="s">
        <v>83</v>
      </c>
      <c r="J17" s="2" t="s">
        <v>84</v>
      </c>
      <c r="K17" s="2">
        <v>1</v>
      </c>
    </row>
    <row r="18" spans="1:11" x14ac:dyDescent="0.2">
      <c r="A18" s="3" t="s">
        <v>18</v>
      </c>
      <c r="B18" s="3" t="s">
        <v>30</v>
      </c>
      <c r="C18" s="2">
        <v>5</v>
      </c>
      <c r="D18" s="2">
        <v>0.86</v>
      </c>
      <c r="E18" s="2" t="s">
        <v>85</v>
      </c>
      <c r="F18" s="2" t="s">
        <v>86</v>
      </c>
      <c r="G18" s="2">
        <v>4.0999999999999996</v>
      </c>
      <c r="H18" s="2"/>
      <c r="I18" s="2" t="s">
        <v>87</v>
      </c>
      <c r="J18" s="2" t="s">
        <v>88</v>
      </c>
      <c r="K18" s="2" t="s">
        <v>89</v>
      </c>
    </row>
    <row r="19" spans="1:11" x14ac:dyDescent="0.2">
      <c r="A19" s="3" t="s">
        <v>19</v>
      </c>
      <c r="B19" s="3" t="s">
        <v>30</v>
      </c>
      <c r="C19" s="2">
        <v>20</v>
      </c>
      <c r="D19" s="2">
        <v>0.09</v>
      </c>
      <c r="E19" s="2" t="s">
        <v>90</v>
      </c>
      <c r="F19" s="2" t="s">
        <v>91</v>
      </c>
      <c r="G19" s="2" t="s">
        <v>92</v>
      </c>
      <c r="H19" s="2" t="s">
        <v>93</v>
      </c>
      <c r="I19" s="2"/>
      <c r="J19" s="4">
        <v>0.37</v>
      </c>
      <c r="K19" s="2"/>
    </row>
    <row r="20" spans="1:11" x14ac:dyDescent="0.2">
      <c r="A20" s="3" t="s">
        <v>19</v>
      </c>
      <c r="B20" s="3" t="s">
        <v>30</v>
      </c>
      <c r="C20" s="2">
        <v>80</v>
      </c>
      <c r="D20" s="2"/>
      <c r="E20" s="2"/>
      <c r="F20" s="2"/>
      <c r="G20" s="2">
        <v>0.9</v>
      </c>
      <c r="H20" s="2" t="s">
        <v>94</v>
      </c>
      <c r="I20" s="2" t="s">
        <v>95</v>
      </c>
      <c r="J20" s="2"/>
      <c r="K20" s="2" t="s">
        <v>96</v>
      </c>
    </row>
    <row r="21" spans="1:11" x14ac:dyDescent="0.2">
      <c r="A21" s="3" t="s">
        <v>20</v>
      </c>
      <c r="B21" s="3" t="s">
        <v>168</v>
      </c>
      <c r="C21" s="2">
        <v>8</v>
      </c>
      <c r="D21" s="2">
        <v>8.1199999999999992</v>
      </c>
      <c r="E21" s="2" t="s">
        <v>97</v>
      </c>
      <c r="F21" s="2" t="s">
        <v>98</v>
      </c>
      <c r="G21" s="2" t="s">
        <v>99</v>
      </c>
      <c r="H21" s="2"/>
      <c r="I21" s="2"/>
      <c r="J21" s="2"/>
      <c r="K21" s="2"/>
    </row>
    <row r="22" spans="1:11" x14ac:dyDescent="0.2">
      <c r="A22" s="3" t="s">
        <v>20</v>
      </c>
      <c r="B22" s="3" t="s">
        <v>168</v>
      </c>
      <c r="C22" s="2">
        <v>2</v>
      </c>
      <c r="D22" s="2">
        <v>1.97</v>
      </c>
      <c r="E22" s="2" t="s">
        <v>100</v>
      </c>
      <c r="F22" s="2" t="s">
        <v>101</v>
      </c>
      <c r="G22" s="2" t="s">
        <v>102</v>
      </c>
      <c r="H22" s="2"/>
      <c r="I22" s="2"/>
      <c r="J22" s="2"/>
      <c r="K22" s="2"/>
    </row>
    <row r="23" spans="1:11" x14ac:dyDescent="0.2">
      <c r="A23" s="3" t="s">
        <v>20</v>
      </c>
      <c r="B23" s="3" t="s">
        <v>168</v>
      </c>
      <c r="C23" s="2">
        <v>4</v>
      </c>
      <c r="D23" s="2">
        <v>4.6399999999999997</v>
      </c>
      <c r="E23" s="2" t="s">
        <v>103</v>
      </c>
      <c r="F23" s="2" t="s">
        <v>104</v>
      </c>
      <c r="G23" s="2" t="s">
        <v>105</v>
      </c>
      <c r="H23" s="2"/>
      <c r="I23" s="2"/>
      <c r="J23" s="2"/>
      <c r="K23" s="2"/>
    </row>
    <row r="24" spans="1:11" x14ac:dyDescent="0.2">
      <c r="A24" s="3" t="s">
        <v>20</v>
      </c>
      <c r="B24" s="3" t="s">
        <v>168</v>
      </c>
      <c r="C24" s="2">
        <v>12</v>
      </c>
      <c r="D24" s="2">
        <v>16.72</v>
      </c>
      <c r="E24" s="2" t="s">
        <v>106</v>
      </c>
      <c r="F24" s="2" t="s">
        <v>107</v>
      </c>
      <c r="G24" s="2" t="s">
        <v>108</v>
      </c>
      <c r="H24" s="2"/>
      <c r="I24" s="2"/>
      <c r="J24" s="2"/>
      <c r="K24" s="2"/>
    </row>
    <row r="25" spans="1:11" x14ac:dyDescent="0.2">
      <c r="A25" s="3" t="s">
        <v>20</v>
      </c>
      <c r="B25" s="3" t="s">
        <v>168</v>
      </c>
      <c r="C25" s="2">
        <v>16</v>
      </c>
      <c r="D25" s="2">
        <v>19.16</v>
      </c>
      <c r="E25" s="2" t="s">
        <v>109</v>
      </c>
      <c r="F25" s="2" t="s">
        <v>110</v>
      </c>
      <c r="G25" s="2" t="s">
        <v>111</v>
      </c>
      <c r="H25" s="2"/>
      <c r="I25" s="2"/>
      <c r="J25" s="2"/>
      <c r="K25" s="2"/>
    </row>
    <row r="26" spans="1:11" x14ac:dyDescent="0.2">
      <c r="A26" s="3" t="s">
        <v>21</v>
      </c>
      <c r="B26" t="s">
        <v>65</v>
      </c>
      <c r="C26" s="2">
        <v>25</v>
      </c>
      <c r="D26" s="2">
        <v>1.3</v>
      </c>
      <c r="E26" s="2" t="s">
        <v>112</v>
      </c>
      <c r="F26" s="2" t="s">
        <v>113</v>
      </c>
      <c r="G26" s="2" t="s">
        <v>114</v>
      </c>
      <c r="H26" s="2"/>
      <c r="I26" s="2" t="s">
        <v>115</v>
      </c>
      <c r="J26" s="2"/>
      <c r="K26" s="2"/>
    </row>
    <row r="27" spans="1:11" x14ac:dyDescent="0.2">
      <c r="A27" s="3" t="s">
        <v>21</v>
      </c>
      <c r="B27" t="s">
        <v>65</v>
      </c>
      <c r="C27" s="2">
        <v>50</v>
      </c>
      <c r="D27" s="2"/>
      <c r="E27" s="2" t="s">
        <v>116</v>
      </c>
      <c r="F27" s="2"/>
      <c r="G27" s="2"/>
      <c r="H27" s="2"/>
      <c r="I27" s="2"/>
      <c r="J27" s="2"/>
      <c r="K27" s="2"/>
    </row>
    <row r="28" spans="1:11" x14ac:dyDescent="0.2">
      <c r="A28" s="3" t="s">
        <v>21</v>
      </c>
      <c r="B28" t="s">
        <v>65</v>
      </c>
      <c r="C28" s="2">
        <v>100</v>
      </c>
      <c r="D28" s="2"/>
      <c r="E28" s="2"/>
      <c r="F28" s="2"/>
      <c r="G28" s="2" t="s">
        <v>117</v>
      </c>
      <c r="H28" s="2"/>
      <c r="I28" s="2">
        <v>112.5</v>
      </c>
      <c r="J28" s="2"/>
      <c r="K28" s="2" t="s">
        <v>118</v>
      </c>
    </row>
    <row r="29" spans="1:11" x14ac:dyDescent="0.2">
      <c r="A29" s="3" t="s">
        <v>22</v>
      </c>
      <c r="B29" s="3" t="s">
        <v>170</v>
      </c>
      <c r="C29" s="2">
        <v>10</v>
      </c>
      <c r="D29" s="2">
        <v>18.010000000000002</v>
      </c>
      <c r="E29" s="2" t="s">
        <v>119</v>
      </c>
      <c r="F29" s="2" t="s">
        <v>120</v>
      </c>
      <c r="G29" s="2" t="s">
        <v>121</v>
      </c>
      <c r="H29" s="2"/>
      <c r="I29" s="2" t="s">
        <v>122</v>
      </c>
      <c r="J29" s="2" t="s">
        <v>123</v>
      </c>
      <c r="K29" s="2"/>
    </row>
    <row r="30" spans="1:11" x14ac:dyDescent="0.2">
      <c r="A30" s="3" t="s">
        <v>23</v>
      </c>
      <c r="B30" s="3" t="s">
        <v>168</v>
      </c>
      <c r="C30" s="2">
        <v>150</v>
      </c>
      <c r="D30" s="2">
        <v>671.75</v>
      </c>
      <c r="E30" s="2" t="s">
        <v>124</v>
      </c>
      <c r="F30" s="2">
        <v>1.5</v>
      </c>
      <c r="G30" s="2" t="s">
        <v>125</v>
      </c>
      <c r="H30" s="2"/>
      <c r="I30" s="2"/>
      <c r="J30" s="2" t="s">
        <v>126</v>
      </c>
      <c r="K30" s="2"/>
    </row>
    <row r="31" spans="1:11" x14ac:dyDescent="0.2">
      <c r="A31" s="3" t="s">
        <v>23</v>
      </c>
      <c r="B31" s="3" t="s">
        <v>168</v>
      </c>
      <c r="C31" s="2">
        <v>300</v>
      </c>
      <c r="D31" s="2">
        <v>883.78</v>
      </c>
      <c r="E31" s="2" t="s">
        <v>127</v>
      </c>
      <c r="F31" s="2">
        <v>1.5</v>
      </c>
      <c r="G31" s="2" t="s">
        <v>128</v>
      </c>
      <c r="H31" s="2"/>
      <c r="I31" s="2"/>
      <c r="J31" s="2" t="s">
        <v>129</v>
      </c>
      <c r="K31" s="2"/>
    </row>
    <row r="32" spans="1:11" x14ac:dyDescent="0.2">
      <c r="A32" s="3" t="s">
        <v>23</v>
      </c>
      <c r="B32" s="3" t="s">
        <v>168</v>
      </c>
      <c r="C32" s="2">
        <v>300</v>
      </c>
      <c r="D32" s="2">
        <v>1262.21</v>
      </c>
      <c r="E32" s="2" t="s">
        <v>130</v>
      </c>
      <c r="F32" s="2">
        <v>1</v>
      </c>
      <c r="G32" s="2" t="s">
        <v>131</v>
      </c>
      <c r="H32" s="2"/>
      <c r="I32" s="2" t="s">
        <v>132</v>
      </c>
      <c r="J32" s="2" t="s">
        <v>133</v>
      </c>
      <c r="K32" s="2"/>
    </row>
    <row r="33" spans="1:11" x14ac:dyDescent="0.2">
      <c r="A33" s="3" t="s">
        <v>24</v>
      </c>
      <c r="B33" t="s">
        <v>31</v>
      </c>
      <c r="C33" s="2">
        <v>60</v>
      </c>
      <c r="D33" s="2">
        <v>0.92</v>
      </c>
      <c r="E33" s="2" t="s">
        <v>134</v>
      </c>
      <c r="F33" s="2" t="s">
        <v>135</v>
      </c>
      <c r="G33" s="2" t="s">
        <v>136</v>
      </c>
      <c r="H33" s="2"/>
      <c r="I33" s="2"/>
      <c r="J33" s="2"/>
      <c r="K33" s="2"/>
    </row>
    <row r="34" spans="1:11" x14ac:dyDescent="0.2">
      <c r="A34" s="3" t="s">
        <v>24</v>
      </c>
      <c r="B34" t="s">
        <v>31</v>
      </c>
      <c r="C34" s="2">
        <v>120</v>
      </c>
      <c r="D34" s="2">
        <v>0</v>
      </c>
      <c r="E34" s="2" t="s">
        <v>137</v>
      </c>
      <c r="F34" s="2"/>
      <c r="G34" s="2" t="s">
        <v>138</v>
      </c>
      <c r="H34" s="2" t="s">
        <v>139</v>
      </c>
      <c r="I34" s="2" t="s">
        <v>140</v>
      </c>
      <c r="J34" s="2"/>
      <c r="K34" s="2" t="s">
        <v>141</v>
      </c>
    </row>
    <row r="35" spans="1:11" x14ac:dyDescent="0.2">
      <c r="A35" s="3" t="s">
        <v>25</v>
      </c>
      <c r="B35" s="3" t="s">
        <v>169</v>
      </c>
      <c r="C35" s="2">
        <v>0.3</v>
      </c>
      <c r="D35" s="2">
        <v>0</v>
      </c>
      <c r="E35" s="2" t="s">
        <v>142</v>
      </c>
      <c r="F35" s="2" t="s">
        <v>143</v>
      </c>
      <c r="G35" s="2" t="s">
        <v>144</v>
      </c>
      <c r="H35" s="2"/>
      <c r="I35" s="2" t="s">
        <v>145</v>
      </c>
      <c r="J35" s="2"/>
      <c r="K35" s="2" t="s">
        <v>146</v>
      </c>
    </row>
    <row r="36" spans="1:11" x14ac:dyDescent="0.2">
      <c r="A36" s="3" t="s">
        <v>26</v>
      </c>
      <c r="B36" s="3" t="s">
        <v>170</v>
      </c>
      <c r="C36" s="2">
        <v>4</v>
      </c>
      <c r="D36" s="2"/>
      <c r="E36" s="2">
        <v>5.5</v>
      </c>
      <c r="F36" s="2">
        <v>4</v>
      </c>
      <c r="G36" s="2"/>
      <c r="H36" s="2" t="s">
        <v>147</v>
      </c>
      <c r="I36" s="2"/>
      <c r="J36" s="2" t="s">
        <v>148</v>
      </c>
      <c r="K36" s="2"/>
    </row>
    <row r="37" spans="1:11" x14ac:dyDescent="0.2">
      <c r="A37" s="3" t="s">
        <v>26</v>
      </c>
      <c r="B37" s="3" t="s">
        <v>170</v>
      </c>
      <c r="C37" s="2">
        <v>8</v>
      </c>
      <c r="D37" s="2"/>
      <c r="E37" s="2" t="s">
        <v>149</v>
      </c>
      <c r="F37" s="2" t="s">
        <v>150</v>
      </c>
      <c r="G37" s="2"/>
      <c r="H37" s="2"/>
      <c r="I37" s="2" t="s">
        <v>151</v>
      </c>
      <c r="J37" s="2"/>
      <c r="K37" s="2"/>
    </row>
    <row r="38" spans="1:11" x14ac:dyDescent="0.2">
      <c r="A38" s="3" t="s">
        <v>27</v>
      </c>
      <c r="B38" s="3" t="s">
        <v>168</v>
      </c>
      <c r="C38" s="2">
        <v>80</v>
      </c>
      <c r="D38" s="2">
        <v>114.95</v>
      </c>
      <c r="E38" s="2" t="s">
        <v>152</v>
      </c>
      <c r="F38" s="2">
        <v>3</v>
      </c>
      <c r="G38" s="2">
        <v>5.0999999999999996</v>
      </c>
      <c r="H38" s="4">
        <v>0.25</v>
      </c>
      <c r="I38" s="2">
        <v>132</v>
      </c>
      <c r="J38" s="4">
        <v>0.1</v>
      </c>
      <c r="K38" s="2">
        <v>9.5</v>
      </c>
    </row>
    <row r="39" spans="1:11" x14ac:dyDescent="0.2">
      <c r="A39" s="3" t="s">
        <v>28</v>
      </c>
      <c r="B39" s="3" t="s">
        <v>30</v>
      </c>
      <c r="C39" s="2">
        <v>25</v>
      </c>
      <c r="D39" s="2"/>
      <c r="E39" s="2" t="s">
        <v>153</v>
      </c>
      <c r="F39" s="2">
        <v>1.5</v>
      </c>
      <c r="G39" s="2"/>
      <c r="H39" s="4">
        <v>0.72</v>
      </c>
      <c r="I39" s="2" t="s">
        <v>154</v>
      </c>
      <c r="J39" s="2"/>
      <c r="K39" s="2"/>
    </row>
    <row r="40" spans="1:11" x14ac:dyDescent="0.2">
      <c r="A40" s="3" t="s">
        <v>28</v>
      </c>
      <c r="B40" s="3" t="s">
        <v>30</v>
      </c>
      <c r="C40" s="2">
        <v>12.5</v>
      </c>
      <c r="D40" s="2"/>
      <c r="E40" s="2" t="s">
        <v>155</v>
      </c>
      <c r="F40" s="2">
        <v>1.5</v>
      </c>
      <c r="G40" s="2"/>
      <c r="H40" s="4">
        <v>0.68</v>
      </c>
      <c r="I40" s="2" t="s">
        <v>156</v>
      </c>
      <c r="J40" s="2"/>
      <c r="K40" s="2"/>
    </row>
    <row r="41" spans="1:11" x14ac:dyDescent="0.2">
      <c r="A41" s="3" t="s">
        <v>28</v>
      </c>
      <c r="B41" s="3" t="s">
        <v>30</v>
      </c>
      <c r="C41" s="2">
        <v>50</v>
      </c>
      <c r="D41" s="2"/>
      <c r="E41" s="2" t="s">
        <v>157</v>
      </c>
      <c r="F41" s="2">
        <v>1.5</v>
      </c>
      <c r="G41" s="2"/>
      <c r="H41" s="4">
        <v>0.65</v>
      </c>
      <c r="I41" s="2" t="s">
        <v>158</v>
      </c>
      <c r="J41" s="2"/>
      <c r="K41" s="2"/>
    </row>
    <row r="42" spans="1:11" x14ac:dyDescent="0.2">
      <c r="A42" s="3" t="s">
        <v>28</v>
      </c>
      <c r="B42" s="3" t="s">
        <v>30</v>
      </c>
      <c r="C42" s="2">
        <v>80</v>
      </c>
      <c r="D42" s="2">
        <v>247.01</v>
      </c>
      <c r="E42" s="2" t="s">
        <v>159</v>
      </c>
      <c r="F42" s="2">
        <v>1</v>
      </c>
      <c r="G42" s="2" t="s">
        <v>160</v>
      </c>
      <c r="H42" s="2"/>
      <c r="I42" s="2"/>
      <c r="J42" s="2" t="s">
        <v>161</v>
      </c>
      <c r="K42" s="2"/>
    </row>
    <row r="43" spans="1:11" x14ac:dyDescent="0.2">
      <c r="A43" s="3" t="s">
        <v>29</v>
      </c>
      <c r="B43" s="3" t="s">
        <v>30</v>
      </c>
      <c r="C43" s="2">
        <v>20</v>
      </c>
      <c r="D43" s="2"/>
      <c r="E43" s="2" t="s">
        <v>162</v>
      </c>
      <c r="F43" s="2">
        <v>4</v>
      </c>
      <c r="G43" s="2"/>
      <c r="H43" s="2"/>
      <c r="I43" s="2"/>
      <c r="J43" s="2" t="s">
        <v>163</v>
      </c>
      <c r="K43" s="2"/>
    </row>
    <row r="44" spans="1:11" x14ac:dyDescent="0.2">
      <c r="A44" s="3" t="s">
        <v>167</v>
      </c>
      <c r="B44" s="3" t="s">
        <v>31</v>
      </c>
      <c r="C44" s="2">
        <v>10</v>
      </c>
      <c r="D44" s="2">
        <v>0.09</v>
      </c>
      <c r="E44" s="2" t="s">
        <v>164</v>
      </c>
      <c r="F44" s="2" t="s">
        <v>165</v>
      </c>
      <c r="G44" s="2" t="s">
        <v>150</v>
      </c>
      <c r="H44" s="2"/>
      <c r="I44" s="2"/>
      <c r="J44" s="2" t="s">
        <v>166</v>
      </c>
      <c r="K4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Akram, Ammar</dc:creator>
  <cp:lastModifiedBy>Akram, Ammar</cp:lastModifiedBy>
  <dcterms:created xsi:type="dcterms:W3CDTF">2026-01-12T21:58:21Z</dcterms:created>
  <dcterms:modified xsi:type="dcterms:W3CDTF">2026-04-12T22:51:24Z</dcterms:modified>
</cp:coreProperties>
</file>